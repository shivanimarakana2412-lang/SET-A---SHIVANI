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<sst xmlns="http://schemas.openxmlformats.org/spreadsheetml/2006/main" count="136" uniqueCount="43">
  <si>
    <t xml:space="preserve">Raw Sheet — Original deliveries.csv (unchanged, 13 rows including 1 duplicate)</t>
  </si>
  <si>
    <t xml:space="preserve">record_id</t>
  </si>
  <si>
    <t xml:space="preserve">month</t>
  </si>
  <si>
    <t xml:space="preserve">route_id</t>
  </si>
  <si>
    <t xml:space="preserve">hub</t>
  </si>
  <si>
    <t xml:space="preserve">promised_days</t>
  </si>
  <si>
    <t xml:space="preserve">actual_days</t>
  </si>
  <si>
    <t xml:space="preserve">Jan</t>
  </si>
  <si>
    <t xml:space="preserve">R1</t>
  </si>
  <si>
    <t xml:space="preserve">Mumbai</t>
  </si>
  <si>
    <t xml:space="preserve">R2</t>
  </si>
  <si>
    <t xml:space="preserve">Chennai</t>
  </si>
  <si>
    <t xml:space="preserve">R3</t>
  </si>
  <si>
    <t xml:space="preserve">Delhi</t>
  </si>
  <si>
    <t xml:space="preserve">R4</t>
  </si>
  <si>
    <t xml:space="preserve">Feb</t>
  </si>
  <si>
    <t xml:space="preserve">Mar</t>
  </si>
  <si>
    <t xml:space="preserve">Before row count (Raw, incl. duplicate):</t>
  </si>
  <si>
    <t xml:space="preserve">Duplicate row highlighted in orange (record_id 12 appears twice).</t>
  </si>
  <si>
    <t xml:space="preserve">Lookup Sheet — routes.csv (4 rows)</t>
  </si>
  <si>
    <t xml:space="preserve">route</t>
  </si>
  <si>
    <t xml:space="preserve">service_type</t>
  </si>
  <si>
    <t xml:space="preserve">Metro Link</t>
  </si>
  <si>
    <t xml:space="preserve">Express</t>
  </si>
  <si>
    <t xml:space="preserve">City Dash</t>
  </si>
  <si>
    <t xml:space="preserve">Highway Freight</t>
  </si>
  <si>
    <t xml:space="preserve">Standard</t>
  </si>
  <si>
    <t xml:space="preserve">Rural Feeder</t>
  </si>
  <si>
    <t xml:space="preserve">Clean Sheet — duplicate removed, service_type via INDEX/MATCH, delay_days derived</t>
  </si>
  <si>
    <t xml:space="preserve">delay_days</t>
  </si>
  <si>
    <t xml:space="preserve">Before row count (Raw):</t>
  </si>
  <si>
    <t xml:space="preserve">After row count (Clean, duplicate removed):</t>
  </si>
  <si>
    <t xml:space="preserve">Summary Sheet — Hub totals, Service Type x Month cross-tab, Chart</t>
  </si>
  <si>
    <t xml:space="preserve">Total delay_days by Hub (SUMIFS)</t>
  </si>
  <si>
    <t xml:space="preserve">total_delay_days</t>
  </si>
  <si>
    <t xml:space="preserve">TOTAL</t>
  </si>
  <si>
    <t xml:space="preserve">PivotTable: Total delay_days by Service Type (rows) x Month (columns)</t>
  </si>
  <si>
    <t xml:space="preserve">Grand Total</t>
  </si>
  <si>
    <t xml:space="preserve">Note: table above is a formula-driven pivot-equivalent (SUMIFS), always live and editable. For a native Excel PivotTable object referencing the same result, select Clean!A3:H15 -&gt; Insert -&gt; PivotTable -&gt; Rows: service_type, Columns: month, Values: Sum of delay_days.</t>
  </si>
  <si>
    <t xml:space="preserve">Delay incidence rate by Service Type (actual_days &gt; promised_days)</t>
  </si>
  <si>
    <t xml:space="preserve">late_count</t>
  </si>
  <si>
    <t xml:space="preserve">total_count</t>
  </si>
  <si>
    <t xml:space="preserve">incidence_rate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</si>
</sst>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CE4D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Delay Days by Service Type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Summary!$B$13:$B$14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</c:ser>
        <c:ser>
          <c:idx val="1"/>
          <c:order val="1"/>
          <c:tx>
            <c:strRef>
              <c:f>Summary!C12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Summary!$C$13:$C$14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</c:ser>
        <c:ser>
          <c:idx val="2"/>
          <c:order val="2"/>
          <c:tx>
            <c:strRef>
              <c:f>Summary!D12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Summary!$D$13:$D$14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gapWidth val="150"/>
        <c:overlap val="0"/>
        <c:axId val="83232444"/>
        <c:axId val="99352900"/>
      </c:barChart>
      <c:catAx>
        <c:axId val="83232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52900"/>
        <c:crosses val="autoZero"/>
        <c:auto val="1"/>
        <c:lblAlgn val="ctr"/>
        <c:lblOffset val="100"/>
        <c:noMultiLvlLbl val="0"/>
      </c:catAx>
      <c:valAx>
        <c:axId val="99352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delay_days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324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6</xdr:col>
      <xdr:colOff>191160</xdr:colOff>
      <xdr:row>40</xdr:row>
      <xdr:rowOff>161640</xdr:rowOff>
    </xdr:to>
    <xdr:graphicFrame>
      <xdr:nvGraphicFramePr>
        <xdr:cNvPr id="0" name="Chart 1"/>
        <xdr:cNvGraphicFramePr/>
      </xdr:nvGraphicFramePr>
      <xdr:xfrm>
        <a:off x="0" y="4572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s">
        <v>8</v>
      </c>
      <c r="D4" s="3" t="s">
        <v>9</v>
      </c>
      <c r="E4" s="3" t="n">
        <v>2</v>
      </c>
      <c r="F4" s="3" t="n">
        <v>2</v>
      </c>
    </row>
    <row r="5" customFormat="false" ht="15" hidden="false" customHeight="false" outlineLevel="0" collapsed="false">
      <c r="A5" s="3" t="n">
        <v>2</v>
      </c>
      <c r="B5" s="3" t="s">
        <v>7</v>
      </c>
      <c r="C5" s="3" t="s">
        <v>10</v>
      </c>
      <c r="D5" s="3" t="s">
        <v>11</v>
      </c>
      <c r="E5" s="3" t="n">
        <v>3</v>
      </c>
      <c r="F5" s="3" t="n">
        <v>4</v>
      </c>
    </row>
    <row r="6" customFormat="false" ht="15" hidden="false" customHeight="false" outlineLevel="0" collapsed="false">
      <c r="A6" s="3" t="n">
        <v>3</v>
      </c>
      <c r="B6" s="3" t="s">
        <v>7</v>
      </c>
      <c r="C6" s="3" t="s">
        <v>12</v>
      </c>
      <c r="D6" s="3" t="s">
        <v>13</v>
      </c>
      <c r="E6" s="3" t="n">
        <v>5</v>
      </c>
      <c r="F6" s="3" t="n">
        <v>8</v>
      </c>
    </row>
    <row r="7" customFormat="false" ht="15" hidden="false" customHeight="false" outlineLevel="0" collapsed="false">
      <c r="A7" s="3" t="n">
        <v>4</v>
      </c>
      <c r="B7" s="3" t="s">
        <v>7</v>
      </c>
      <c r="C7" s="3" t="s">
        <v>14</v>
      </c>
      <c r="D7" s="3" t="s">
        <v>9</v>
      </c>
      <c r="E7" s="3" t="n">
        <v>6</v>
      </c>
      <c r="F7" s="3" t="n">
        <v>10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s">
        <v>8</v>
      </c>
      <c r="D8" s="3" t="s">
        <v>11</v>
      </c>
      <c r="E8" s="3" t="n">
        <v>2</v>
      </c>
      <c r="F8" s="3" t="n">
        <v>5</v>
      </c>
    </row>
    <row r="9" customFormat="false" ht="15" hidden="false" customHeight="false" outlineLevel="0" collapsed="false">
      <c r="A9" s="3" t="n">
        <v>6</v>
      </c>
      <c r="B9" s="3" t="s">
        <v>15</v>
      </c>
      <c r="C9" s="3" t="s">
        <v>10</v>
      </c>
      <c r="D9" s="3" t="s">
        <v>13</v>
      </c>
      <c r="E9" s="3" t="n">
        <v>3</v>
      </c>
      <c r="F9" s="3" t="n">
        <v>3</v>
      </c>
    </row>
    <row r="10" customFormat="false" ht="15" hidden="false" customHeight="false" outlineLevel="0" collapsed="false">
      <c r="A10" s="3" t="n">
        <v>7</v>
      </c>
      <c r="B10" s="3" t="s">
        <v>15</v>
      </c>
      <c r="C10" s="3" t="s">
        <v>12</v>
      </c>
      <c r="D10" s="3" t="s">
        <v>13</v>
      </c>
      <c r="E10" s="3" t="n">
        <v>5</v>
      </c>
      <c r="F10" s="3" t="n">
        <v>10</v>
      </c>
    </row>
    <row r="11" customFormat="false" ht="15" hidden="false" customHeight="false" outlineLevel="0" collapsed="false">
      <c r="A11" s="3" t="n">
        <v>8</v>
      </c>
      <c r="B11" s="3" t="s">
        <v>15</v>
      </c>
      <c r="C11" s="3" t="s">
        <v>14</v>
      </c>
      <c r="D11" s="3" t="s">
        <v>11</v>
      </c>
      <c r="E11" s="3" t="n">
        <v>6</v>
      </c>
      <c r="F11" s="3" t="n">
        <v>7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3" t="s">
        <v>8</v>
      </c>
      <c r="D12" s="3" t="s">
        <v>13</v>
      </c>
      <c r="E12" s="3" t="n">
        <v>2</v>
      </c>
      <c r="F12" s="3" t="n">
        <v>8</v>
      </c>
    </row>
    <row r="13" customFormat="false" ht="15" hidden="false" customHeight="false" outlineLevel="0" collapsed="false">
      <c r="A13" s="3" t="n">
        <v>10</v>
      </c>
      <c r="B13" s="3" t="s">
        <v>16</v>
      </c>
      <c r="C13" s="3" t="s">
        <v>10</v>
      </c>
      <c r="D13" s="3" t="s">
        <v>9</v>
      </c>
      <c r="E13" s="3" t="n">
        <v>3</v>
      </c>
      <c r="F13" s="3" t="n">
        <v>5</v>
      </c>
    </row>
    <row r="14" customFormat="false" ht="15" hidden="false" customHeight="false" outlineLevel="0" collapsed="false">
      <c r="A14" s="3" t="n">
        <v>11</v>
      </c>
      <c r="B14" s="3" t="s">
        <v>16</v>
      </c>
      <c r="C14" s="3" t="s">
        <v>12</v>
      </c>
      <c r="D14" s="3" t="s">
        <v>11</v>
      </c>
      <c r="E14" s="3" t="n">
        <v>5</v>
      </c>
      <c r="F14" s="3" t="n">
        <v>5</v>
      </c>
    </row>
    <row r="15" customFormat="false" ht="15" hidden="false" customHeight="false" outlineLevel="0" collapsed="false">
      <c r="A15" s="4" t="n">
        <v>12</v>
      </c>
      <c r="B15" s="4" t="s">
        <v>16</v>
      </c>
      <c r="C15" s="4" t="s">
        <v>14</v>
      </c>
      <c r="D15" s="4" t="s">
        <v>9</v>
      </c>
      <c r="E15" s="4" t="n">
        <v>6</v>
      </c>
      <c r="F15" s="4" t="n">
        <v>15</v>
      </c>
    </row>
    <row r="16" customFormat="false" ht="15" hidden="false" customHeight="false" outlineLevel="0" collapsed="false">
      <c r="A16" s="4" t="n">
        <v>12</v>
      </c>
      <c r="B16" s="4" t="s">
        <v>16</v>
      </c>
      <c r="C16" s="4" t="s">
        <v>14</v>
      </c>
      <c r="D16" s="4" t="s">
        <v>9</v>
      </c>
      <c r="E16" s="4" t="n">
        <v>6</v>
      </c>
      <c r="F16" s="4" t="n">
        <v>15</v>
      </c>
    </row>
    <row r="18" customFormat="false" ht="15" hidden="false" customHeight="false" outlineLevel="0" collapsed="false">
      <c r="A18" s="5" t="s">
        <v>17</v>
      </c>
      <c r="D18" s="5" t="n">
        <f aca="false">COUNTA(A4:A16)</f>
        <v>13</v>
      </c>
    </row>
    <row r="19" customFormat="false" ht="15" hidden="false" customHeight="false" outlineLevel="0" collapsed="false">
      <c r="A19" s="6" t="s">
        <v>18</v>
      </c>
      <c r="B19" s="6"/>
      <c r="C19" s="6"/>
      <c r="D19" s="6"/>
      <c r="E19" s="6"/>
      <c r="F19" s="6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19</v>
      </c>
      <c r="B1" s="1"/>
      <c r="C1" s="1"/>
    </row>
    <row r="3" customFormat="false" ht="15" hidden="false" customHeight="false" outlineLevel="0" collapsed="false">
      <c r="A3" s="2" t="s">
        <v>3</v>
      </c>
      <c r="B3" s="2" t="s">
        <v>20</v>
      </c>
      <c r="C3" s="2" t="s">
        <v>21</v>
      </c>
    </row>
    <row r="4" customFormat="false" ht="15" hidden="false" customHeight="false" outlineLevel="0" collapsed="false">
      <c r="A4" s="3" t="s">
        <v>8</v>
      </c>
      <c r="B4" s="3" t="s">
        <v>22</v>
      </c>
      <c r="C4" s="3" t="s">
        <v>23</v>
      </c>
    </row>
    <row r="5" customFormat="false" ht="15" hidden="false" customHeight="false" outlineLevel="0" collapsed="false">
      <c r="A5" s="3" t="s">
        <v>10</v>
      </c>
      <c r="B5" s="3" t="s">
        <v>24</v>
      </c>
      <c r="C5" s="3" t="s">
        <v>23</v>
      </c>
    </row>
    <row r="6" customFormat="false" ht="15" hidden="false" customHeight="false" outlineLevel="0" collapsed="false">
      <c r="A6" s="3" t="s">
        <v>12</v>
      </c>
      <c r="B6" s="3" t="s">
        <v>25</v>
      </c>
      <c r="C6" s="3" t="s">
        <v>26</v>
      </c>
    </row>
    <row r="7" customFormat="false" ht="15" hidden="false" customHeight="false" outlineLevel="0" collapsed="false">
      <c r="A7" s="3" t="s">
        <v>14</v>
      </c>
      <c r="B7" s="3" t="s">
        <v>27</v>
      </c>
      <c r="C7" s="3" t="s">
        <v>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21</v>
      </c>
      <c r="H3" s="2" t="s">
        <v>29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s">
        <v>8</v>
      </c>
      <c r="D4" s="3" t="s">
        <v>9</v>
      </c>
      <c r="E4" s="3" t="n">
        <v>2</v>
      </c>
      <c r="F4" s="3" t="n">
        <v>2</v>
      </c>
      <c r="G4" s="3" t="str">
        <f aca="false">INDEX(Lookup!$C$4:$C$7,MATCH(C4,Lookup!$A$4:$A$7,0))</f>
        <v>Express</v>
      </c>
      <c r="H4" s="3" t="n">
        <f aca="false">MAX(F4-E4,0)</f>
        <v>0</v>
      </c>
    </row>
    <row r="5" customFormat="false" ht="15" hidden="false" customHeight="false" outlineLevel="0" collapsed="false">
      <c r="A5" s="3" t="n">
        <v>2</v>
      </c>
      <c r="B5" s="3" t="s">
        <v>7</v>
      </c>
      <c r="C5" s="3" t="s">
        <v>10</v>
      </c>
      <c r="D5" s="3" t="s">
        <v>11</v>
      </c>
      <c r="E5" s="3" t="n">
        <v>3</v>
      </c>
      <c r="F5" s="3" t="n">
        <v>4</v>
      </c>
      <c r="G5" s="3" t="str">
        <f aca="false">INDEX(Lookup!$C$4:$C$7,MATCH(C5,Lookup!$A$4:$A$7,0))</f>
        <v>Express</v>
      </c>
      <c r="H5" s="3" t="n">
        <f aca="false">MAX(F5-E5,0)</f>
        <v>1</v>
      </c>
    </row>
    <row r="6" customFormat="false" ht="15" hidden="false" customHeight="false" outlineLevel="0" collapsed="false">
      <c r="A6" s="3" t="n">
        <v>3</v>
      </c>
      <c r="B6" s="3" t="s">
        <v>7</v>
      </c>
      <c r="C6" s="3" t="s">
        <v>12</v>
      </c>
      <c r="D6" s="3" t="s">
        <v>13</v>
      </c>
      <c r="E6" s="3" t="n">
        <v>5</v>
      </c>
      <c r="F6" s="3" t="n">
        <v>8</v>
      </c>
      <c r="G6" s="3" t="str">
        <f aca="false">INDEX(Lookup!$C$4:$C$7,MATCH(C6,Lookup!$A$4:$A$7,0))</f>
        <v>Standard</v>
      </c>
      <c r="H6" s="3" t="n">
        <f aca="false">MAX(F6-E6,0)</f>
        <v>3</v>
      </c>
    </row>
    <row r="7" customFormat="false" ht="15" hidden="false" customHeight="false" outlineLevel="0" collapsed="false">
      <c r="A7" s="3" t="n">
        <v>4</v>
      </c>
      <c r="B7" s="3" t="s">
        <v>7</v>
      </c>
      <c r="C7" s="3" t="s">
        <v>14</v>
      </c>
      <c r="D7" s="3" t="s">
        <v>9</v>
      </c>
      <c r="E7" s="3" t="n">
        <v>6</v>
      </c>
      <c r="F7" s="3" t="n">
        <v>10</v>
      </c>
      <c r="G7" s="3" t="str">
        <f aca="false">INDEX(Lookup!$C$4:$C$7,MATCH(C7,Lookup!$A$4:$A$7,0))</f>
        <v>Standard</v>
      </c>
      <c r="H7" s="3" t="n">
        <f aca="false">MAX(F7-E7,0)</f>
        <v>4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s">
        <v>8</v>
      </c>
      <c r="D8" s="3" t="s">
        <v>11</v>
      </c>
      <c r="E8" s="3" t="n">
        <v>2</v>
      </c>
      <c r="F8" s="3" t="n">
        <v>5</v>
      </c>
      <c r="G8" s="3" t="str">
        <f aca="false">INDEX(Lookup!$C$4:$C$7,MATCH(C8,Lookup!$A$4:$A$7,0))</f>
        <v>Express</v>
      </c>
      <c r="H8" s="3" t="n">
        <f aca="false">MAX(F8-E8,0)</f>
        <v>3</v>
      </c>
    </row>
    <row r="9" customFormat="false" ht="15" hidden="false" customHeight="false" outlineLevel="0" collapsed="false">
      <c r="A9" s="3" t="n">
        <v>6</v>
      </c>
      <c r="B9" s="3" t="s">
        <v>15</v>
      </c>
      <c r="C9" s="3" t="s">
        <v>10</v>
      </c>
      <c r="D9" s="3" t="s">
        <v>13</v>
      </c>
      <c r="E9" s="3" t="n">
        <v>3</v>
      </c>
      <c r="F9" s="3" t="n">
        <v>3</v>
      </c>
      <c r="G9" s="3" t="str">
        <f aca="false">INDEX(Lookup!$C$4:$C$7,MATCH(C9,Lookup!$A$4:$A$7,0))</f>
        <v>Express</v>
      </c>
      <c r="H9" s="3" t="n">
        <f aca="false">MAX(F9-E9,0)</f>
        <v>0</v>
      </c>
    </row>
    <row r="10" customFormat="false" ht="15" hidden="false" customHeight="false" outlineLevel="0" collapsed="false">
      <c r="A10" s="3" t="n">
        <v>7</v>
      </c>
      <c r="B10" s="3" t="s">
        <v>15</v>
      </c>
      <c r="C10" s="3" t="s">
        <v>12</v>
      </c>
      <c r="D10" s="3" t="s">
        <v>13</v>
      </c>
      <c r="E10" s="3" t="n">
        <v>5</v>
      </c>
      <c r="F10" s="3" t="n">
        <v>10</v>
      </c>
      <c r="G10" s="3" t="str">
        <f aca="false">INDEX(Lookup!$C$4:$C$7,MATCH(C10,Lookup!$A$4:$A$7,0))</f>
        <v>Standard</v>
      </c>
      <c r="H10" s="3" t="n">
        <f aca="false">MAX(F10-E10,0)</f>
        <v>5</v>
      </c>
    </row>
    <row r="11" customFormat="false" ht="15" hidden="false" customHeight="false" outlineLevel="0" collapsed="false">
      <c r="A11" s="3" t="n">
        <v>8</v>
      </c>
      <c r="B11" s="3" t="s">
        <v>15</v>
      </c>
      <c r="C11" s="3" t="s">
        <v>14</v>
      </c>
      <c r="D11" s="3" t="s">
        <v>11</v>
      </c>
      <c r="E11" s="3" t="n">
        <v>6</v>
      </c>
      <c r="F11" s="3" t="n">
        <v>7</v>
      </c>
      <c r="G11" s="3" t="str">
        <f aca="false">INDEX(Lookup!$C$4:$C$7,MATCH(C11,Lookup!$A$4:$A$7,0))</f>
        <v>Standard</v>
      </c>
      <c r="H11" s="3" t="n">
        <f aca="false">MAX(F11-E11,0)</f>
        <v>1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3" t="s">
        <v>8</v>
      </c>
      <c r="D12" s="3" t="s">
        <v>13</v>
      </c>
      <c r="E12" s="3" t="n">
        <v>2</v>
      </c>
      <c r="F12" s="3" t="n">
        <v>8</v>
      </c>
      <c r="G12" s="3" t="str">
        <f aca="false">INDEX(Lookup!$C$4:$C$7,MATCH(C12,Lookup!$A$4:$A$7,0))</f>
        <v>Express</v>
      </c>
      <c r="H12" s="3" t="n">
        <f aca="false">MAX(F12-E12,0)</f>
        <v>6</v>
      </c>
    </row>
    <row r="13" customFormat="false" ht="15" hidden="false" customHeight="false" outlineLevel="0" collapsed="false">
      <c r="A13" s="3" t="n">
        <v>10</v>
      </c>
      <c r="B13" s="3" t="s">
        <v>16</v>
      </c>
      <c r="C13" s="3" t="s">
        <v>10</v>
      </c>
      <c r="D13" s="3" t="s">
        <v>9</v>
      </c>
      <c r="E13" s="3" t="n">
        <v>3</v>
      </c>
      <c r="F13" s="3" t="n">
        <v>5</v>
      </c>
      <c r="G13" s="3" t="str">
        <f aca="false">INDEX(Lookup!$C$4:$C$7,MATCH(C13,Lookup!$A$4:$A$7,0))</f>
        <v>Express</v>
      </c>
      <c r="H13" s="3" t="n">
        <f aca="false">MAX(F13-E13,0)</f>
        <v>2</v>
      </c>
    </row>
    <row r="14" customFormat="false" ht="15" hidden="false" customHeight="false" outlineLevel="0" collapsed="false">
      <c r="A14" s="3" t="n">
        <v>11</v>
      </c>
      <c r="B14" s="3" t="s">
        <v>16</v>
      </c>
      <c r="C14" s="3" t="s">
        <v>12</v>
      </c>
      <c r="D14" s="3" t="s">
        <v>11</v>
      </c>
      <c r="E14" s="3" t="n">
        <v>5</v>
      </c>
      <c r="F14" s="3" t="n">
        <v>5</v>
      </c>
      <c r="G14" s="3" t="str">
        <f aca="false">INDEX(Lookup!$C$4:$C$7,MATCH(C14,Lookup!$A$4:$A$7,0))</f>
        <v>Standard</v>
      </c>
      <c r="H14" s="3" t="n">
        <f aca="false">MAX(F14-E14,0)</f>
        <v>0</v>
      </c>
    </row>
    <row r="15" customFormat="false" ht="15" hidden="false" customHeight="false" outlineLevel="0" collapsed="false">
      <c r="A15" s="3" t="n">
        <v>12</v>
      </c>
      <c r="B15" s="3" t="s">
        <v>16</v>
      </c>
      <c r="C15" s="3" t="s">
        <v>14</v>
      </c>
      <c r="D15" s="3" t="s">
        <v>9</v>
      </c>
      <c r="E15" s="3" t="n">
        <v>6</v>
      </c>
      <c r="F15" s="3" t="n">
        <v>15</v>
      </c>
      <c r="G15" s="3" t="str">
        <f aca="false">INDEX(Lookup!$C$4:$C$7,MATCH(C15,Lookup!$A$4:$A$7,0))</f>
        <v>Standard</v>
      </c>
      <c r="H15" s="3" t="n">
        <f aca="false">MAX(F15-E15,0)</f>
        <v>9</v>
      </c>
    </row>
    <row r="17" customFormat="false" ht="15" hidden="false" customHeight="false" outlineLevel="0" collapsed="false">
      <c r="A17" s="5" t="s">
        <v>30</v>
      </c>
      <c r="C17" s="5" t="n">
        <f aca="false">Raw!D18</f>
        <v>13</v>
      </c>
    </row>
    <row r="18" customFormat="false" ht="15" hidden="false" customHeight="false" outlineLevel="0" collapsed="false">
      <c r="A18" s="5" t="s">
        <v>31</v>
      </c>
      <c r="C18" s="5" t="n">
        <f aca="false">COUNTA(A4:A15)</f>
        <v>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8" min="6" style="0" width="10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33</v>
      </c>
    </row>
    <row r="4" customFormat="false" ht="15" hidden="false" customHeight="false" outlineLevel="0" collapsed="false">
      <c r="A4" s="2" t="s">
        <v>4</v>
      </c>
      <c r="B4" s="2" t="s">
        <v>34</v>
      </c>
    </row>
    <row r="5" customFormat="false" ht="15" hidden="false" customHeight="false" outlineLevel="0" collapsed="false">
      <c r="A5" s="3" t="s">
        <v>11</v>
      </c>
      <c r="B5" s="3" t="n">
        <f aca="false">SUMIFS(Clean!$H$4:$H$15,Clean!$D$4:$D$15,A5)</f>
        <v>5</v>
      </c>
    </row>
    <row r="6" customFormat="false" ht="15" hidden="false" customHeight="false" outlineLevel="0" collapsed="false">
      <c r="A6" s="3" t="s">
        <v>13</v>
      </c>
      <c r="B6" s="3" t="n">
        <f aca="false">SUMIFS(Clean!$H$4:$H$15,Clean!$D$4:$D$15,A6)</f>
        <v>14</v>
      </c>
    </row>
    <row r="7" customFormat="false" ht="15" hidden="false" customHeight="false" outlineLevel="0" collapsed="false">
      <c r="A7" s="3" t="s">
        <v>9</v>
      </c>
      <c r="B7" s="3" t="n">
        <f aca="false">SUMIFS(Clean!$H$4:$H$15,Clean!$D$4:$D$15,A7)</f>
        <v>15</v>
      </c>
    </row>
    <row r="8" customFormat="false" ht="15" hidden="false" customHeight="false" outlineLevel="0" collapsed="false">
      <c r="A8" s="5" t="s">
        <v>35</v>
      </c>
      <c r="B8" s="5" t="n">
        <f aca="false">SUM(B5:B7)</f>
        <v>34</v>
      </c>
    </row>
    <row r="11" customFormat="false" ht="15" hidden="false" customHeight="false" outlineLevel="0" collapsed="false">
      <c r="A11" s="7" t="s">
        <v>36</v>
      </c>
      <c r="B11" s="7"/>
      <c r="C11" s="7"/>
      <c r="D11" s="7"/>
      <c r="E11" s="7"/>
    </row>
    <row r="12" customFormat="false" ht="15" hidden="false" customHeight="false" outlineLevel="0" collapsed="false">
      <c r="A12" s="2" t="s">
        <v>21</v>
      </c>
      <c r="B12" s="2" t="s">
        <v>7</v>
      </c>
      <c r="C12" s="2" t="s">
        <v>15</v>
      </c>
      <c r="D12" s="2" t="s">
        <v>16</v>
      </c>
      <c r="E12" s="2" t="s">
        <v>37</v>
      </c>
    </row>
    <row r="13" customFormat="false" ht="15" hidden="false" customHeight="false" outlineLevel="0" collapsed="false">
      <c r="A13" s="3" t="s">
        <v>23</v>
      </c>
      <c r="B13" s="3" t="n">
        <f aca="false">SUMIFS(Clean!$H$4:$H$15,Clean!$G$4:$G$15,$A13,Clean!$B$4:$B$15,B$12)</f>
        <v>1</v>
      </c>
      <c r="C13" s="3" t="n">
        <f aca="false">SUMIFS(Clean!$H$4:$H$15,Clean!$G$4:$G$15,$A13,Clean!$B$4:$B$15,C$12)</f>
        <v>3</v>
      </c>
      <c r="D13" s="3" t="n">
        <f aca="false">SUMIFS(Clean!$H$4:$H$15,Clean!$G$4:$G$15,$A13,Clean!$B$4:$B$15,D$12)</f>
        <v>8</v>
      </c>
      <c r="E13" s="8" t="n">
        <f aca="false">SUM(B13:D13)</f>
        <v>12</v>
      </c>
    </row>
    <row r="14" customFormat="false" ht="15" hidden="false" customHeight="false" outlineLevel="0" collapsed="false">
      <c r="A14" s="3" t="s">
        <v>26</v>
      </c>
      <c r="B14" s="3" t="n">
        <f aca="false">SUMIFS(Clean!$H$4:$H$15,Clean!$G$4:$G$15,$A14,Clean!$B$4:$B$15,B$12)</f>
        <v>7</v>
      </c>
      <c r="C14" s="3" t="n">
        <f aca="false">SUMIFS(Clean!$H$4:$H$15,Clean!$G$4:$G$15,$A14,Clean!$B$4:$B$15,C$12)</f>
        <v>6</v>
      </c>
      <c r="D14" s="3" t="n">
        <f aca="false">SUMIFS(Clean!$H$4:$H$15,Clean!$G$4:$G$15,$A14,Clean!$B$4:$B$15,D$12)</f>
        <v>9</v>
      </c>
      <c r="E14" s="8" t="n">
        <f aca="false">SUM(B14:D14)</f>
        <v>22</v>
      </c>
    </row>
    <row r="15" customFormat="false" ht="15" hidden="false" customHeight="false" outlineLevel="0" collapsed="false">
      <c r="A15" s="5" t="s">
        <v>37</v>
      </c>
      <c r="B15" s="5" t="n">
        <f aca="false">SUM(B13:B14)</f>
        <v>8</v>
      </c>
      <c r="C15" s="5" t="n">
        <f aca="false">SUM(C13:C14)</f>
        <v>9</v>
      </c>
      <c r="D15" s="5" t="n">
        <f aca="false">SUM(D13:D14)</f>
        <v>17</v>
      </c>
      <c r="E15" s="5" t="n">
        <f aca="false">SUM(E13:E14)</f>
        <v>34</v>
      </c>
    </row>
    <row r="17" customFormat="false" ht="15" hidden="false" customHeight="false" outlineLevel="0" collapsed="false">
      <c r="A17" s="6" t="s">
        <v>38</v>
      </c>
      <c r="B17" s="6"/>
      <c r="C17" s="6"/>
      <c r="D17" s="6"/>
      <c r="E17" s="6"/>
      <c r="F17" s="6"/>
      <c r="G17" s="6"/>
      <c r="H17" s="6"/>
    </row>
    <row r="19" customFormat="false" ht="15" hidden="false" customHeight="false" outlineLevel="0" collapsed="false">
      <c r="A19" s="7" t="s">
        <v>39</v>
      </c>
      <c r="B19" s="7"/>
      <c r="C19" s="7"/>
      <c r="D19" s="7"/>
    </row>
    <row r="20" customFormat="false" ht="15" hidden="false" customHeight="false" outlineLevel="0" collapsed="false">
      <c r="A20" s="2" t="s">
        <v>21</v>
      </c>
      <c r="B20" s="2" t="s">
        <v>40</v>
      </c>
      <c r="C20" s="2" t="s">
        <v>41</v>
      </c>
      <c r="D20" s="2" t="s">
        <v>42</v>
      </c>
    </row>
    <row r="21" customFormat="false" ht="15" hidden="false" customHeight="false" outlineLevel="0" collapsed="false">
      <c r="A21" s="3" t="s">
        <v>23</v>
      </c>
      <c r="B21" s="3" t="n">
        <f aca="false">SUMPRODUCT((Clean!$G$4:$G$15=A21)*(Clean!$F$4:$F$15&gt;Clean!$E$4:$E$15))</f>
        <v>4</v>
      </c>
      <c r="C21" s="3" t="n">
        <f aca="false">COUNTIF(Clean!$G$4:$G$15,A21)</f>
        <v>6</v>
      </c>
      <c r="D21" s="9" t="n">
        <f aca="false">ROUND(B21/C21,4)</f>
        <v>0.6667</v>
      </c>
    </row>
    <row r="22" customFormat="false" ht="15" hidden="false" customHeight="false" outlineLevel="0" collapsed="false">
      <c r="A22" s="3" t="s">
        <v>26</v>
      </c>
      <c r="B22" s="3" t="n">
        <f aca="false">SUMPRODUCT((Clean!$G$4:$G$15=A22)*(Clean!$F$4:$F$15&gt;Clean!$E$4:$E$15))</f>
        <v>5</v>
      </c>
      <c r="C22" s="3" t="n">
        <f aca="false">COUNTIF(Clean!$G$4:$G$15,A22)</f>
        <v>6</v>
      </c>
      <c r="D22" s="9" t="n">
        <f aca="false">ROUND(B22/C22,4)</f>
        <v>0.8333</v>
      </c>
    </row>
  </sheetData>
  <mergeCells count="4">
    <mergeCell ref="A1:F1"/>
    <mergeCell ref="A11:E11"/>
    <mergeCell ref="A17:H17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2026-09-26T05:20:54Z</dcterms:created>
  <dc:creator>openpyxl</dc:creator>
  <dc:description/>
  <dc:language>en-US</dc:language>
  <cp:lastModifiedBy/>
  <dcterms:modified xsi:type="dcterms:W3CDTF">2026-09-26T05:20:58Z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